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cuments\BACKUP\AU\3.semester\HWSW codesign\FinalProject\HW-SW\"/>
    </mc:Choice>
  </mc:AlternateContent>
  <xr:revisionPtr revIDLastSave="0" documentId="13_ncr:1_{D1B042CC-E95F-49AC-80BB-95EC9209C624}" xr6:coauthVersionLast="47" xr6:coauthVersionMax="47" xr10:uidLastSave="{00000000-0000-0000-0000-000000000000}"/>
  <bookViews>
    <workbookView xWindow="-120" yWindow="-120" windowWidth="29040" windowHeight="15720" xr2:uid="{1AB8879E-38C7-482E-B9B8-C61862BFB469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E22" i="4"/>
  <c r="C22" i="4"/>
  <c r="D9" i="4"/>
  <c r="E9" i="4"/>
  <c r="F9" i="4"/>
  <c r="G9" i="4"/>
  <c r="H9" i="4"/>
  <c r="I9" i="4"/>
  <c r="J9" i="4"/>
  <c r="K9" i="4"/>
  <c r="C9" i="4"/>
  <c r="N2" i="4"/>
</calcChain>
</file>

<file path=xl/sharedStrings.xml><?xml version="1.0" encoding="utf-8"?>
<sst xmlns="http://schemas.openxmlformats.org/spreadsheetml/2006/main" count="28" uniqueCount="18">
  <si>
    <t>unroll_pipeline</t>
  </si>
  <si>
    <t>unroll_unroll</t>
  </si>
  <si>
    <t>unroll_zero</t>
  </si>
  <si>
    <t>zero_pipeline</t>
  </si>
  <si>
    <t>zero_unroll</t>
  </si>
  <si>
    <t>zero_zero</t>
  </si>
  <si>
    <t>val</t>
  </si>
  <si>
    <t xml:space="preserve"> </t>
  </si>
  <si>
    <t>pipeline_pipeline</t>
  </si>
  <si>
    <t>pipeline_unroll</t>
  </si>
  <si>
    <t>pipeline_zero</t>
  </si>
  <si>
    <t>Total time [ns]</t>
  </si>
  <si>
    <t>Clock-cycle [ns]</t>
  </si>
  <si>
    <t>Latency [ ]</t>
  </si>
  <si>
    <t>BRAM [ ]</t>
  </si>
  <si>
    <t>DSP48E [ ]</t>
  </si>
  <si>
    <t>FF [ ]</t>
  </si>
  <si>
    <t>LUT 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</si>
</sst>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/>
    <xf numFmtId="0" fontId="0" fillId="0" borderId="0" xfId="0" applyBorder="1"/>
    <xf numFmtId="166" fontId="0" fillId="0" borderId="0" xfId="0" applyNumberFormat="1" applyFont="1" applyBorder="1"/>
    <xf numFmtId="0" fontId="0" fillId="0" borderId="2" xfId="0" applyBorder="1"/>
    <xf numFmtId="166" fontId="0" fillId="0" borderId="2" xfId="0" applyNumberFormat="1" applyFont="1" applyBorder="1"/>
    <xf numFmtId="0" fontId="0" fillId="0" borderId="4" xfId="0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8" xfId="0" applyFill="1" applyBorder="1"/>
    <xf numFmtId="0" fontId="0" fillId="3" borderId="0" xfId="0" applyFill="1" applyBorder="1"/>
    <xf numFmtId="166" fontId="0" fillId="3" borderId="0" xfId="0" applyNumberFormat="1" applyFont="1" applyFill="1" applyBorder="1"/>
    <xf numFmtId="0" fontId="0" fillId="3" borderId="3" xfId="0" applyFill="1" applyBorder="1"/>
    <xf numFmtId="0" fontId="0" fillId="3" borderId="2" xfId="0" applyFill="1" applyBorder="1"/>
    <xf numFmtId="166" fontId="0" fillId="3" borderId="2" xfId="0" applyNumberFormat="1" applyFont="1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Column graph</a:t>
            </a:r>
            <a:r>
              <a:rPr lang="da-DK" baseline="0"/>
              <a:t> for latency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1"/>
              </a:solidFill>
              <a:ln w="22225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AF1-4F22-B4A4-29943B47C996}"/>
              </c:ext>
            </c:extLst>
          </c:dPt>
          <c:dLbls>
            <c:dLbl>
              <c:idx val="5"/>
              <c:layout>
                <c:manualLayout>
                  <c:x val="1.9512584965340869E-2"/>
                  <c:y val="7.722144394187527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F1-4F22-B4A4-29943B47C996}"/>
                </c:ext>
              </c:extLst>
            </c:dLbl>
            <c:dLbl>
              <c:idx val="8"/>
              <c:layout>
                <c:manualLayout>
                  <c:x val="1.5238071202638133E-2"/>
                  <c:y val="7.49058431298983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F1-4F22-B4A4-29943B47C9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33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Sheet4!$C$2:$K$2</c:f>
              <c:strCache>
                <c:ptCount val="9"/>
                <c:pt idx="0">
                  <c:v>pipeline_pipeline</c:v>
                </c:pt>
                <c:pt idx="1">
                  <c:v>pipeline_unroll</c:v>
                </c:pt>
                <c:pt idx="2">
                  <c:v>pipeline_zero</c:v>
                </c:pt>
                <c:pt idx="3">
                  <c:v>unroll_pipeline</c:v>
                </c:pt>
                <c:pt idx="4">
                  <c:v>unroll_unroll</c:v>
                </c:pt>
                <c:pt idx="5">
                  <c:v>unroll_zero</c:v>
                </c:pt>
                <c:pt idx="6">
                  <c:v>zero_pipeline</c:v>
                </c:pt>
                <c:pt idx="7">
                  <c:v>zero_unroll</c:v>
                </c:pt>
                <c:pt idx="8">
                  <c:v>zero_zero</c:v>
                </c:pt>
              </c:strCache>
            </c:strRef>
          </c:cat>
          <c:val>
            <c:numRef>
              <c:f>Sheet4!$C$3:$K$3</c:f>
              <c:numCache>
                <c:formatCode>General</c:formatCode>
                <c:ptCount val="9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153</c:v>
                </c:pt>
                <c:pt idx="4">
                  <c:v>92</c:v>
                </c:pt>
                <c:pt idx="5">
                  <c:v>657</c:v>
                </c:pt>
                <c:pt idx="6">
                  <c:v>91</c:v>
                </c:pt>
                <c:pt idx="7">
                  <c:v>163</c:v>
                </c:pt>
                <c:pt idx="8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1-4F22-B4A4-29943B47C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9342816"/>
        <c:axId val="1699346176"/>
      </c:barChart>
      <c:lineChart>
        <c:grouping val="stacked"/>
        <c:varyColors val="0"/>
        <c:ser>
          <c:idx val="1"/>
          <c:order val="1"/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Sheet4!$B$12:$J$12</c:f>
              <c:numCache>
                <c:formatCode>General</c:formatCode>
                <c:ptCount val="9"/>
                <c:pt idx="0">
                  <c:v>92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F1-4F22-B4A4-29943B47C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342816"/>
        <c:axId val="1699346176"/>
      </c:lineChart>
      <c:catAx>
        <c:axId val="16993428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99346176"/>
        <c:crosses val="autoZero"/>
        <c:auto val="1"/>
        <c:lblAlgn val="ctr"/>
        <c:lblOffset val="100"/>
        <c:tickMarkSkip val="1"/>
        <c:noMultiLvlLbl val="0"/>
      </c:catAx>
      <c:valAx>
        <c:axId val="16993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Latency</a:t>
                </a:r>
                <a:r>
                  <a:rPr lang="da-DK" baseline="0"/>
                  <a:t> [number of clock cycles]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9934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Utilization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FF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3"/>
              </a:solidFill>
              <a:ln w="22225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DF7-4FF6-A509-C5E94E325171}"/>
              </c:ext>
            </c:extLst>
          </c:dPt>
          <c:cat>
            <c:strRef>
              <c:f>Sheet4!$C$2:$K$2</c:f>
              <c:strCache>
                <c:ptCount val="9"/>
                <c:pt idx="0">
                  <c:v>pipeline_pipeline</c:v>
                </c:pt>
                <c:pt idx="1">
                  <c:v>pipeline_unroll</c:v>
                </c:pt>
                <c:pt idx="2">
                  <c:v>pipeline_zero</c:v>
                </c:pt>
                <c:pt idx="3">
                  <c:v>unroll_pipeline</c:v>
                </c:pt>
                <c:pt idx="4">
                  <c:v>unroll_unroll</c:v>
                </c:pt>
                <c:pt idx="5">
                  <c:v>unroll_zero</c:v>
                </c:pt>
                <c:pt idx="6">
                  <c:v>zero_pipeline</c:v>
                </c:pt>
                <c:pt idx="7">
                  <c:v>zero_unroll</c:v>
                </c:pt>
                <c:pt idx="8">
                  <c:v>zero_zero</c:v>
                </c:pt>
              </c:strCache>
            </c:strRef>
          </c:cat>
          <c:val>
            <c:numRef>
              <c:f>Sheet4!$C$7:$K$7</c:f>
              <c:numCache>
                <c:formatCode>General</c:formatCode>
                <c:ptCount val="9"/>
                <c:pt idx="0">
                  <c:v>790</c:v>
                </c:pt>
                <c:pt idx="1">
                  <c:v>790</c:v>
                </c:pt>
                <c:pt idx="2">
                  <c:v>790</c:v>
                </c:pt>
                <c:pt idx="3">
                  <c:v>1782</c:v>
                </c:pt>
                <c:pt idx="4">
                  <c:v>1396</c:v>
                </c:pt>
                <c:pt idx="5">
                  <c:v>1215</c:v>
                </c:pt>
                <c:pt idx="6">
                  <c:v>676</c:v>
                </c:pt>
                <c:pt idx="7">
                  <c:v>794</c:v>
                </c:pt>
                <c:pt idx="8">
                  <c:v>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7-4FF6-A509-C5E94E325171}"/>
            </c:ext>
          </c:extLst>
        </c:ser>
        <c:ser>
          <c:idx val="3"/>
          <c:order val="1"/>
          <c:tx>
            <c:v>LUT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4"/>
              </a:solidFill>
              <a:ln w="22225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F7-4FF6-A509-C5E94E325171}"/>
              </c:ext>
            </c:extLst>
          </c:dPt>
          <c:cat>
            <c:strRef>
              <c:f>Sheet4!$C$2:$K$2</c:f>
              <c:strCache>
                <c:ptCount val="9"/>
                <c:pt idx="0">
                  <c:v>pipeline_pipeline</c:v>
                </c:pt>
                <c:pt idx="1">
                  <c:v>pipeline_unroll</c:v>
                </c:pt>
                <c:pt idx="2">
                  <c:v>pipeline_zero</c:v>
                </c:pt>
                <c:pt idx="3">
                  <c:v>unroll_pipeline</c:v>
                </c:pt>
                <c:pt idx="4">
                  <c:v>unroll_unroll</c:v>
                </c:pt>
                <c:pt idx="5">
                  <c:v>unroll_zero</c:v>
                </c:pt>
                <c:pt idx="6">
                  <c:v>zero_pipeline</c:v>
                </c:pt>
                <c:pt idx="7">
                  <c:v>zero_unroll</c:v>
                </c:pt>
                <c:pt idx="8">
                  <c:v>zero_zero</c:v>
                </c:pt>
              </c:strCache>
            </c:strRef>
          </c:cat>
          <c:val>
            <c:numRef>
              <c:f>Sheet4!$C$8:$K$8</c:f>
              <c:numCache>
                <c:formatCode>General</c:formatCode>
                <c:ptCount val="9"/>
                <c:pt idx="0">
                  <c:v>915</c:v>
                </c:pt>
                <c:pt idx="1">
                  <c:v>915</c:v>
                </c:pt>
                <c:pt idx="2">
                  <c:v>915</c:v>
                </c:pt>
                <c:pt idx="3">
                  <c:v>1804</c:v>
                </c:pt>
                <c:pt idx="4">
                  <c:v>2157</c:v>
                </c:pt>
                <c:pt idx="5">
                  <c:v>1550</c:v>
                </c:pt>
                <c:pt idx="6">
                  <c:v>586</c:v>
                </c:pt>
                <c:pt idx="7">
                  <c:v>931</c:v>
                </c:pt>
                <c:pt idx="8">
                  <c:v>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F7-4FF6-A509-C5E94E325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258816"/>
        <c:axId val="1699261216"/>
      </c:barChart>
      <c:catAx>
        <c:axId val="16992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99261216"/>
        <c:crosses val="autoZero"/>
        <c:auto val="1"/>
        <c:lblAlgn val="ctr"/>
        <c:lblOffset val="100"/>
        <c:noMultiLvlLbl val="0"/>
      </c:catAx>
      <c:valAx>
        <c:axId val="16992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Amount [ ]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9925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Sheet4!$C$2:$K$2</c:f>
              <c:strCache>
                <c:ptCount val="9"/>
                <c:pt idx="0">
                  <c:v>pipeline_pipeline</c:v>
                </c:pt>
                <c:pt idx="1">
                  <c:v>pipeline_unroll</c:v>
                </c:pt>
                <c:pt idx="2">
                  <c:v>pipeline_zero</c:v>
                </c:pt>
                <c:pt idx="3">
                  <c:v>unroll_pipeline</c:v>
                </c:pt>
                <c:pt idx="4">
                  <c:v>unroll_unroll</c:v>
                </c:pt>
                <c:pt idx="5">
                  <c:v>unroll_zero</c:v>
                </c:pt>
                <c:pt idx="6">
                  <c:v>zero_pipeline</c:v>
                </c:pt>
                <c:pt idx="7">
                  <c:v>zero_unroll</c:v>
                </c:pt>
                <c:pt idx="8">
                  <c:v>zero_zero</c:v>
                </c:pt>
              </c:strCache>
            </c:strRef>
          </c:cat>
          <c:val>
            <c:numRef>
              <c:f>Sheet4!$C$3:$K$3</c:f>
              <c:numCache>
                <c:formatCode>General</c:formatCode>
                <c:ptCount val="9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153</c:v>
                </c:pt>
                <c:pt idx="4">
                  <c:v>92</c:v>
                </c:pt>
                <c:pt idx="5">
                  <c:v>657</c:v>
                </c:pt>
                <c:pt idx="6">
                  <c:v>91</c:v>
                </c:pt>
                <c:pt idx="7">
                  <c:v>163</c:v>
                </c:pt>
                <c:pt idx="8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E-44F0-A328-D0DE4D21BB7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Sheet4!$C$2:$K$2</c:f>
              <c:strCache>
                <c:ptCount val="9"/>
                <c:pt idx="0">
                  <c:v>pipeline_pipeline</c:v>
                </c:pt>
                <c:pt idx="1">
                  <c:v>pipeline_unroll</c:v>
                </c:pt>
                <c:pt idx="2">
                  <c:v>pipeline_zero</c:v>
                </c:pt>
                <c:pt idx="3">
                  <c:v>unroll_pipeline</c:v>
                </c:pt>
                <c:pt idx="4">
                  <c:v>unroll_unroll</c:v>
                </c:pt>
                <c:pt idx="5">
                  <c:v>unroll_zero</c:v>
                </c:pt>
                <c:pt idx="6">
                  <c:v>zero_pipeline</c:v>
                </c:pt>
                <c:pt idx="7">
                  <c:v>zero_unroll</c:v>
                </c:pt>
                <c:pt idx="8">
                  <c:v>zero_zero</c:v>
                </c:pt>
              </c:strCache>
            </c:strRef>
          </c:cat>
          <c:val>
            <c:numRef>
              <c:f>Sheet4!$C$4:$K$4</c:f>
              <c:numCache>
                <c:formatCode>#,##0.0000</c:formatCode>
                <c:ptCount val="9"/>
                <c:pt idx="0">
                  <c:v>4.3710000000000004</c:v>
                </c:pt>
                <c:pt idx="1">
                  <c:v>4.3710000000000004</c:v>
                </c:pt>
                <c:pt idx="2">
                  <c:v>4.3710000000000004</c:v>
                </c:pt>
                <c:pt idx="3">
                  <c:v>5.1360000000000001</c:v>
                </c:pt>
                <c:pt idx="4">
                  <c:v>4.3710000000000004</c:v>
                </c:pt>
                <c:pt idx="5">
                  <c:v>5.1360000000000001</c:v>
                </c:pt>
                <c:pt idx="6">
                  <c:v>4.0609999999999999</c:v>
                </c:pt>
                <c:pt idx="7">
                  <c:v>4.3710000000000004</c:v>
                </c:pt>
                <c:pt idx="8">
                  <c:v>4.3209999999999997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E-44F0-A328-D0DE4D21BB7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Sheet4!$C$2:$K$2</c:f>
              <c:strCache>
                <c:ptCount val="9"/>
                <c:pt idx="0">
                  <c:v>pipeline_pipeline</c:v>
                </c:pt>
                <c:pt idx="1">
                  <c:v>pipeline_unroll</c:v>
                </c:pt>
                <c:pt idx="2">
                  <c:v>pipeline_zero</c:v>
                </c:pt>
                <c:pt idx="3">
                  <c:v>unroll_pipeline</c:v>
                </c:pt>
                <c:pt idx="4">
                  <c:v>unroll_unroll</c:v>
                </c:pt>
                <c:pt idx="5">
                  <c:v>unroll_zero</c:v>
                </c:pt>
                <c:pt idx="6">
                  <c:v>zero_pipeline</c:v>
                </c:pt>
                <c:pt idx="7">
                  <c:v>zero_unroll</c:v>
                </c:pt>
                <c:pt idx="8">
                  <c:v>zero_zero</c:v>
                </c:pt>
              </c:strCache>
            </c:strRef>
          </c:cat>
          <c:val>
            <c:numRef>
              <c:f>Sheet4!$B$12:$J$12</c:f>
              <c:numCache>
                <c:formatCode>General</c:formatCode>
                <c:ptCount val="9"/>
                <c:pt idx="0">
                  <c:v>92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CE-44F0-A328-D0DE4D21B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257856"/>
        <c:axId val="1699258336"/>
      </c:barChart>
      <c:catAx>
        <c:axId val="16992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99258336"/>
        <c:crosses val="autoZero"/>
        <c:auto val="1"/>
        <c:lblAlgn val="ctr"/>
        <c:lblOffset val="100"/>
        <c:noMultiLvlLbl val="0"/>
      </c:catAx>
      <c:valAx>
        <c:axId val="16992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992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Clock-cycles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1"/>
              </a:solidFill>
              <a:ln w="22225">
                <a:solidFill>
                  <a:schemeClr val="accent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6E84-4588-B093-769A16C892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1140000" spcFirstLastPara="1" vertOverflow="ellipsis" wrap="square" lIns="38100" tIns="0" rIns="3600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Sheet4!$C$2:$K$2</c:f>
              <c:strCache>
                <c:ptCount val="9"/>
                <c:pt idx="0">
                  <c:v>pipeline_pipeline</c:v>
                </c:pt>
                <c:pt idx="1">
                  <c:v>pipeline_unroll</c:v>
                </c:pt>
                <c:pt idx="2">
                  <c:v>pipeline_zero</c:v>
                </c:pt>
                <c:pt idx="3">
                  <c:v>unroll_pipeline</c:v>
                </c:pt>
                <c:pt idx="4">
                  <c:v>unroll_unroll</c:v>
                </c:pt>
                <c:pt idx="5">
                  <c:v>unroll_zero</c:v>
                </c:pt>
                <c:pt idx="6">
                  <c:v>zero_pipeline</c:v>
                </c:pt>
                <c:pt idx="7">
                  <c:v>zero_unroll</c:v>
                </c:pt>
                <c:pt idx="8">
                  <c:v>zero_zero</c:v>
                </c:pt>
              </c:strCache>
            </c:strRef>
          </c:cat>
          <c:val>
            <c:numRef>
              <c:f>Sheet4!$C$4:$K$4</c:f>
              <c:numCache>
                <c:formatCode>#,##0.0000</c:formatCode>
                <c:ptCount val="9"/>
                <c:pt idx="0">
                  <c:v>4.3710000000000004</c:v>
                </c:pt>
                <c:pt idx="1">
                  <c:v>4.3710000000000004</c:v>
                </c:pt>
                <c:pt idx="2">
                  <c:v>4.3710000000000004</c:v>
                </c:pt>
                <c:pt idx="3">
                  <c:v>5.1360000000000001</c:v>
                </c:pt>
                <c:pt idx="4">
                  <c:v>4.3710000000000004</c:v>
                </c:pt>
                <c:pt idx="5">
                  <c:v>5.1360000000000001</c:v>
                </c:pt>
                <c:pt idx="6">
                  <c:v>4.0609999999999999</c:v>
                </c:pt>
                <c:pt idx="7">
                  <c:v>4.3710000000000004</c:v>
                </c:pt>
                <c:pt idx="8">
                  <c:v>4.3209999999999997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4-4588-B093-769A16C892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99301536"/>
        <c:axId val="169930249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>
                  <a:alpha val="41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Sheet4!$B$13:$J$13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4-4588-B093-769A16C892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9301536"/>
        <c:axId val="1699302496"/>
      </c:lineChart>
      <c:catAx>
        <c:axId val="169930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99302496"/>
        <c:crosses val="autoZero"/>
        <c:auto val="1"/>
        <c:lblAlgn val="ctr"/>
        <c:lblOffset val="100"/>
        <c:noMultiLvlLbl val="0"/>
      </c:catAx>
      <c:valAx>
        <c:axId val="16993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Clock</a:t>
                </a:r>
                <a:r>
                  <a:rPr lang="da-DK" baseline="0"/>
                  <a:t> cycles  [ns]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9930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18</xdr:row>
      <xdr:rowOff>42861</xdr:rowOff>
    </xdr:from>
    <xdr:to>
      <xdr:col>19</xdr:col>
      <xdr:colOff>561975</xdr:colOff>
      <xdr:row>36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3C84B-10D9-DEA8-F406-3D7E5EC0A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397362</xdr:colOff>
      <xdr:row>25</xdr:row>
      <xdr:rowOff>34468</xdr:rowOff>
    </xdr:from>
    <xdr:to>
      <xdr:col>8</xdr:col>
      <xdr:colOff>268775</xdr:colOff>
      <xdr:row>44</xdr:row>
      <xdr:rowOff>123070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0D7749-1F43-C079-7370-61D50173A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214312</xdr:colOff>
      <xdr:row>3</xdr:row>
      <xdr:rowOff>33337</xdr:rowOff>
    </xdr:from>
    <xdr:to>
      <xdr:col>20</xdr:col>
      <xdr:colOff>519112</xdr:colOff>
      <xdr:row>17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D94626-AB9F-933A-273B-A83606A2E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490537</xdr:colOff>
      <xdr:row>38</xdr:row>
      <xdr:rowOff>147637</xdr:rowOff>
    </xdr:from>
    <xdr:to>
      <xdr:col>18</xdr:col>
      <xdr:colOff>185737</xdr:colOff>
      <xdr:row>53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B66E52-B9B0-00C7-047C-0A445E3C7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7010-9E7F-4F1A-B514-C86091DE3E37}">
  <dimension ref="A1:O22"/>
  <sheetViews>
    <sheetView tabSelected="1" zoomScale="79" zoomScaleNormal="101" workbookViewId="0">
      <selection activeCell="B12" sqref="B12:K12"/>
    </sheetView>
  </sheetViews>
  <sheetFormatPr defaultRowHeight="15" x14ac:dyDescent="0.25"/>
  <cols>
    <col min="1" max="1" width="10.85546875" bestFit="1" customWidth="1"/>
    <col min="2" max="2" width="14.85546875" bestFit="1" customWidth="1"/>
    <col min="3" max="3" width="16.28515625" bestFit="1" customWidth="1"/>
    <col min="4" max="4" width="14.42578125" bestFit="1" customWidth="1"/>
    <col min="5" max="5" width="12.7109375" bestFit="1" customWidth="1"/>
    <col min="6" max="6" width="14.42578125" bestFit="1" customWidth="1"/>
    <col min="7" max="7" width="12.42578125" bestFit="1" customWidth="1"/>
    <col min="8" max="8" width="10.85546875" bestFit="1" customWidth="1"/>
    <col min="9" max="9" width="12.7109375" bestFit="1" customWidth="1"/>
    <col min="10" max="10" width="10.85546875" bestFit="1" customWidth="1"/>
    <col min="11" max="11" width="9.28515625" bestFit="1" customWidth="1"/>
  </cols>
  <sheetData>
    <row r="1" spans="1:15" x14ac:dyDescent="0.25">
      <c r="B1" s="1"/>
    </row>
    <row r="2" spans="1:15" x14ac:dyDescent="0.25">
      <c r="A2" s="4"/>
      <c r="B2" s="9"/>
      <c r="C2" s="10" t="s">
        <v>8</v>
      </c>
      <c r="D2" s="10" t="s">
        <v>9</v>
      </c>
      <c r="E2" s="10" t="s">
        <v>10</v>
      </c>
      <c r="F2" s="10" t="s">
        <v>0</v>
      </c>
      <c r="G2" s="10" t="s">
        <v>1</v>
      </c>
      <c r="H2" s="10" t="s">
        <v>2</v>
      </c>
      <c r="I2" s="10" t="s">
        <v>3</v>
      </c>
      <c r="J2" s="10" t="s">
        <v>4</v>
      </c>
      <c r="K2" s="11" t="s">
        <v>5</v>
      </c>
      <c r="N2">
        <f>2/3</f>
        <v>0.66666666666666663</v>
      </c>
    </row>
    <row r="3" spans="1:15" x14ac:dyDescent="0.25">
      <c r="B3" s="7" t="s">
        <v>13</v>
      </c>
      <c r="C3" s="2">
        <v>91</v>
      </c>
      <c r="D3" s="2">
        <v>91</v>
      </c>
      <c r="E3" s="2">
        <v>91</v>
      </c>
      <c r="F3" s="2">
        <v>153</v>
      </c>
      <c r="G3" s="2">
        <v>92</v>
      </c>
      <c r="H3" s="2">
        <v>657</v>
      </c>
      <c r="I3" s="12">
        <v>91</v>
      </c>
      <c r="J3" s="2">
        <v>163</v>
      </c>
      <c r="K3" s="4">
        <v>667</v>
      </c>
    </row>
    <row r="4" spans="1:15" x14ac:dyDescent="0.25">
      <c r="B4" s="7" t="s">
        <v>12</v>
      </c>
      <c r="C4" s="3">
        <v>4.3710000000000004</v>
      </c>
      <c r="D4" s="3">
        <v>4.3710000000000004</v>
      </c>
      <c r="E4" s="3">
        <v>4.3710000000000004</v>
      </c>
      <c r="F4" s="3">
        <v>5.1360000000000001</v>
      </c>
      <c r="G4" s="3">
        <v>4.3710000000000004</v>
      </c>
      <c r="H4" s="3">
        <v>5.1360000000000001</v>
      </c>
      <c r="I4" s="13">
        <v>4.0609999999999999</v>
      </c>
      <c r="J4" s="3">
        <v>4.3710000000000004</v>
      </c>
      <c r="K4" s="5">
        <v>4.3209999999999997</v>
      </c>
    </row>
    <row r="5" spans="1:15" x14ac:dyDescent="0.25">
      <c r="B5" s="7" t="s">
        <v>14</v>
      </c>
      <c r="C5" s="2">
        <v>2</v>
      </c>
      <c r="D5" s="2">
        <v>2</v>
      </c>
      <c r="E5" s="2">
        <v>2</v>
      </c>
      <c r="F5" s="2">
        <v>2</v>
      </c>
      <c r="G5" s="2">
        <v>2</v>
      </c>
      <c r="H5" s="2">
        <v>2</v>
      </c>
      <c r="I5" s="12">
        <v>2</v>
      </c>
      <c r="J5" s="2">
        <v>2</v>
      </c>
      <c r="K5" s="4">
        <v>2</v>
      </c>
    </row>
    <row r="6" spans="1:15" x14ac:dyDescent="0.25">
      <c r="B6" s="7" t="s">
        <v>15</v>
      </c>
      <c r="C6" s="2">
        <v>4</v>
      </c>
      <c r="D6" s="2">
        <v>4</v>
      </c>
      <c r="E6" s="2">
        <v>4</v>
      </c>
      <c r="F6" s="2">
        <v>8</v>
      </c>
      <c r="G6" s="2">
        <v>4</v>
      </c>
      <c r="H6" s="2">
        <v>8</v>
      </c>
      <c r="I6" s="12">
        <v>4</v>
      </c>
      <c r="J6" s="2">
        <v>4</v>
      </c>
      <c r="K6" s="4">
        <v>4</v>
      </c>
    </row>
    <row r="7" spans="1:15" x14ac:dyDescent="0.25">
      <c r="B7" s="7" t="s">
        <v>16</v>
      </c>
      <c r="C7" s="2">
        <v>790</v>
      </c>
      <c r="D7" s="2">
        <v>790</v>
      </c>
      <c r="E7" s="2">
        <v>790</v>
      </c>
      <c r="F7" s="2">
        <v>1782</v>
      </c>
      <c r="G7" s="2">
        <v>1396</v>
      </c>
      <c r="H7" s="2">
        <v>1215</v>
      </c>
      <c r="I7" s="12">
        <v>676</v>
      </c>
      <c r="J7" s="2">
        <v>794</v>
      </c>
      <c r="K7" s="4">
        <v>601</v>
      </c>
    </row>
    <row r="8" spans="1:15" x14ac:dyDescent="0.25">
      <c r="B8" s="8" t="s">
        <v>17</v>
      </c>
      <c r="C8" s="1">
        <v>915</v>
      </c>
      <c r="D8" s="1">
        <v>915</v>
      </c>
      <c r="E8" s="1">
        <v>915</v>
      </c>
      <c r="F8" s="1">
        <v>1804</v>
      </c>
      <c r="G8" s="1">
        <v>2157</v>
      </c>
      <c r="H8" s="1">
        <v>1550</v>
      </c>
      <c r="I8" s="14">
        <v>586</v>
      </c>
      <c r="J8" s="1">
        <v>931</v>
      </c>
      <c r="K8" s="6">
        <v>532</v>
      </c>
    </row>
    <row r="9" spans="1:15" x14ac:dyDescent="0.25">
      <c r="B9" s="8" t="s">
        <v>11</v>
      </c>
      <c r="C9" s="1">
        <f>C4*C3</f>
        <v>397.76100000000002</v>
      </c>
      <c r="D9" s="1">
        <f>D4*D3</f>
        <v>397.76100000000002</v>
      </c>
      <c r="E9" s="1">
        <f>E4*E3</f>
        <v>397.76100000000002</v>
      </c>
      <c r="F9" s="1">
        <f>F4*F3</f>
        <v>785.80799999999999</v>
      </c>
      <c r="G9" s="1">
        <f>G4*G3</f>
        <v>402.13200000000006</v>
      </c>
      <c r="H9" s="1">
        <f>H4*H3</f>
        <v>3374.3519999999999</v>
      </c>
      <c r="I9" s="14">
        <f>I4*I3</f>
        <v>369.55099999999999</v>
      </c>
      <c r="J9" s="1">
        <f>J4*J3</f>
        <v>712.47300000000007</v>
      </c>
      <c r="K9" s="6">
        <f>K4*K3</f>
        <v>2882.107</v>
      </c>
    </row>
    <row r="11" spans="1:15" x14ac:dyDescent="0.25">
      <c r="B11" t="s">
        <v>6</v>
      </c>
    </row>
    <row r="12" spans="1:15" x14ac:dyDescent="0.25">
      <c r="B12">
        <v>92</v>
      </c>
      <c r="C12">
        <v>92</v>
      </c>
      <c r="D12">
        <v>92</v>
      </c>
      <c r="E12">
        <v>92</v>
      </c>
      <c r="F12">
        <v>92</v>
      </c>
      <c r="G12">
        <v>92</v>
      </c>
      <c r="H12">
        <v>92</v>
      </c>
      <c r="I12">
        <v>92</v>
      </c>
      <c r="J12">
        <v>92</v>
      </c>
      <c r="K12">
        <v>92</v>
      </c>
    </row>
    <row r="13" spans="1:15" x14ac:dyDescent="0.25"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</row>
    <row r="14" spans="1:15" x14ac:dyDescent="0.25">
      <c r="O14" t="s">
        <v>7</v>
      </c>
    </row>
    <row r="15" spans="1:15" x14ac:dyDescent="0.25">
      <c r="B15" s="9"/>
      <c r="C15" s="10" t="s">
        <v>10</v>
      </c>
      <c r="D15" s="10" t="s">
        <v>1</v>
      </c>
      <c r="E15" s="11" t="s">
        <v>3</v>
      </c>
    </row>
    <row r="16" spans="1:15" x14ac:dyDescent="0.25">
      <c r="B16" s="7" t="s">
        <v>13</v>
      </c>
      <c r="C16" s="2">
        <v>91</v>
      </c>
      <c r="D16" s="2">
        <v>92</v>
      </c>
      <c r="E16" s="15">
        <v>91</v>
      </c>
    </row>
    <row r="17" spans="2:5" x14ac:dyDescent="0.25">
      <c r="B17" s="7" t="s">
        <v>12</v>
      </c>
      <c r="C17" s="3">
        <v>4.3710000000000004</v>
      </c>
      <c r="D17" s="3">
        <v>4.3710000000000004</v>
      </c>
      <c r="E17" s="16">
        <v>4.0609999999999999</v>
      </c>
    </row>
    <row r="18" spans="2:5" x14ac:dyDescent="0.25">
      <c r="B18" s="7" t="s">
        <v>14</v>
      </c>
      <c r="C18" s="2">
        <v>2</v>
      </c>
      <c r="D18" s="2">
        <v>2</v>
      </c>
      <c r="E18" s="15">
        <v>2</v>
      </c>
    </row>
    <row r="19" spans="2:5" x14ac:dyDescent="0.25">
      <c r="B19" s="7" t="s">
        <v>15</v>
      </c>
      <c r="C19" s="2">
        <v>4</v>
      </c>
      <c r="D19" s="2">
        <v>4</v>
      </c>
      <c r="E19" s="15">
        <v>4</v>
      </c>
    </row>
    <row r="20" spans="2:5" x14ac:dyDescent="0.25">
      <c r="B20" s="7" t="s">
        <v>16</v>
      </c>
      <c r="C20" s="2">
        <v>790</v>
      </c>
      <c r="D20" s="2">
        <v>1396</v>
      </c>
      <c r="E20" s="15">
        <v>676</v>
      </c>
    </row>
    <row r="21" spans="2:5" x14ac:dyDescent="0.25">
      <c r="B21" s="8" t="s">
        <v>17</v>
      </c>
      <c r="C21" s="1">
        <v>915</v>
      </c>
      <c r="D21" s="1">
        <v>2157</v>
      </c>
      <c r="E21" s="17">
        <v>586</v>
      </c>
    </row>
    <row r="22" spans="2:5" x14ac:dyDescent="0.25">
      <c r="B22" s="8" t="s">
        <v>11</v>
      </c>
      <c r="C22" s="1">
        <f>C17*C16</f>
        <v>397.76100000000002</v>
      </c>
      <c r="D22" s="1">
        <f>D17*D16</f>
        <v>402.13200000000006</v>
      </c>
      <c r="E22" s="17">
        <f>E17*E16</f>
        <v>369.55099999999999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Frederiksen Steinthal</dc:creator>
  <cp:lastModifiedBy>Jacob Frederiksen Steinthal</cp:lastModifiedBy>
  <dcterms:created xsi:type="dcterms:W3CDTF">2025-12-28T19:28:02Z</dcterms:created>
  <dcterms:modified xsi:type="dcterms:W3CDTF">2025-12-29T14:13:13Z</dcterms:modified>
</cp:coreProperties>
</file>